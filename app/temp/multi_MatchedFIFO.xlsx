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up1" sheetId="2" state="visible" r:id="rId2"/>
    <sheet name="Sup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1" fillId="0" borderId="0" pivotButton="0" quotePrefix="0" xfId="1"/>
    <xf numFmtId="0" fontId="0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Sup1!A1" TargetMode="External" Id="rId1" /><Relationship Type="http://schemas.openxmlformats.org/officeDocument/2006/relationships/hyperlink" Target="#Sup2!A1" TargetMode="External" Id="rId2" /></Relationships>
</file>

<file path=xl/worksheets/_rels/sheet2.xml.rels><Relationships xmlns="http://schemas.openxmlformats.org/package/2006/relationships"><Relationship Type="http://schemas.openxmlformats.org/officeDocument/2006/relationships/hyperlink" Target="#Summary!A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#Summary!A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6" customWidth="1" min="4" max="4"/>
  </cols>
  <sheetData>
    <row r="1">
      <c r="A1" t="inlineStr">
        <is>
          <t>Supplier Name</t>
        </is>
      </c>
      <c r="B1" t="inlineStr">
        <is>
          <t>Delayed Rows</t>
        </is>
      </c>
      <c r="C1" t="inlineStr">
        <is>
          <t>GST Rate (%)</t>
        </is>
      </c>
      <c r="D1" t="inlineStr">
        <is>
          <t>Interest Total</t>
        </is>
      </c>
    </row>
    <row r="2">
      <c r="A2" s="1" t="inlineStr">
        <is>
          <t>Sup1</t>
        </is>
      </c>
      <c r="B2" t="n">
        <v>4</v>
      </c>
      <c r="C2" t="inlineStr"/>
      <c r="D2">
        <f>'Sup1'!F7</f>
        <v/>
      </c>
    </row>
    <row r="3">
      <c r="A3" s="1" t="inlineStr">
        <is>
          <t>Sup2</t>
        </is>
      </c>
      <c r="B3" t="n">
        <v>5</v>
      </c>
      <c r="C3" t="inlineStr"/>
      <c r="D3">
        <f>'Sup2'!F8</f>
        <v/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4" customWidth="1" min="3" max="3"/>
    <col width="14" customWidth="1" min="4" max="4"/>
    <col width="14" customWidth="1" min="5" max="5"/>
    <col width="82" customWidth="1" min="6" max="6"/>
    <col width="11" customWidth="1" min="7" max="7"/>
  </cols>
  <sheetData>
    <row r="1">
      <c r="A1" s="1" t="inlineStr">
        <is>
          <t>Purchase Date</t>
        </is>
      </c>
      <c r="B1" t="inlineStr">
        <is>
          <t>Purchase Amount</t>
        </is>
      </c>
      <c r="C1" t="inlineStr">
        <is>
          <t>Payment Date</t>
        </is>
      </c>
      <c r="D1" t="inlineStr">
        <is>
          <t>Payment Used</t>
        </is>
      </c>
      <c r="E1" t="inlineStr">
        <is>
          <t>Days Delayed</t>
        </is>
      </c>
      <c r="F1" t="inlineStr">
        <is>
          <t>Interest</t>
        </is>
      </c>
      <c r="G1" t="inlineStr">
        <is>
          <t>IsDelayed</t>
        </is>
      </c>
      <c r="H1" s="1" t="inlineStr">
        <is>
          <t>Back to Summary</t>
        </is>
      </c>
    </row>
    <row r="2">
      <c r="A2" t="inlineStr">
        <is>
          <t>01-04-2018</t>
        </is>
      </c>
      <c r="B2" t="n">
        <v>10000</v>
      </c>
      <c r="C2" t="inlineStr">
        <is>
          <t>21-04-2018</t>
        </is>
      </c>
      <c r="D2" t="n">
        <v>10000</v>
      </c>
      <c r="E2" t="n">
        <v>20</v>
      </c>
      <c r="F2" t="n">
        <v>0</v>
      </c>
      <c r="G2" t="n">
        <v>0</v>
      </c>
    </row>
    <row r="3">
      <c r="A3" s="2" t="inlineStr">
        <is>
          <t>05-04-2018</t>
        </is>
      </c>
      <c r="B3" s="2" t="n">
        <v>10000</v>
      </c>
      <c r="C3" s="2" t="inlineStr">
        <is>
          <t>01-01-2019</t>
        </is>
      </c>
      <c r="D3" s="2" t="n">
        <v>10000</v>
      </c>
      <c r="E3" s="2" t="n">
        <v>271</v>
      </c>
      <c r="F3" s="2">
        <f>IF(Summary!$C$2="",0,ROUND((B3*Summary!$C$2/(100+Summary!$C$2))*0.18*E3/365,2))</f>
        <v/>
      </c>
      <c r="G3" s="2" t="n">
        <v>1</v>
      </c>
    </row>
    <row r="4">
      <c r="A4" s="2" t="inlineStr">
        <is>
          <t>09-04-2018</t>
        </is>
      </c>
      <c r="B4" s="2" t="n">
        <v>10000</v>
      </c>
      <c r="C4" s="2" t="inlineStr">
        <is>
          <t>01-01-2019</t>
        </is>
      </c>
      <c r="D4" s="2" t="n">
        <v>10000</v>
      </c>
      <c r="E4" s="2" t="n">
        <v>267</v>
      </c>
      <c r="F4" s="2">
        <f>IF(Summary!$C$2="",0,ROUND((B4*Summary!$C$2/(100+Summary!$C$2))*0.18*E4/365,2))</f>
        <v/>
      </c>
      <c r="G4" s="2" t="n">
        <v>1</v>
      </c>
    </row>
    <row r="5">
      <c r="A5" s="2" t="inlineStr">
        <is>
          <t>13-04-2018</t>
        </is>
      </c>
      <c r="B5" s="2" t="n">
        <v>10000</v>
      </c>
      <c r="C5" s="2" t="inlineStr">
        <is>
          <t>01-01-2019</t>
        </is>
      </c>
      <c r="D5" s="2" t="n">
        <v>10000</v>
      </c>
      <c r="E5" s="2" t="n">
        <v>263</v>
      </c>
      <c r="F5" s="2">
        <f>IF(Summary!$C$2="",0,ROUND((B5*Summary!$C$2/(100+Summary!$C$2))*0.18*E5/365,2))</f>
        <v/>
      </c>
      <c r="G5" s="2" t="n">
        <v>1</v>
      </c>
    </row>
    <row r="6">
      <c r="A6" s="2" t="inlineStr">
        <is>
          <t>17-04-2018</t>
        </is>
      </c>
      <c r="B6" s="2" t="n">
        <v>10000</v>
      </c>
      <c r="C6" s="2" t="inlineStr">
        <is>
          <t>01-01-2019</t>
        </is>
      </c>
      <c r="D6" s="2" t="n">
        <v>10000</v>
      </c>
      <c r="E6" s="2" t="n">
        <v>259</v>
      </c>
      <c r="F6" s="2">
        <f>IF(Summary!$C$2="",0,ROUND((B6*Summary!$C$2/(100+Summary!$C$2))*0.18*E6/365,2))</f>
        <v/>
      </c>
      <c r="G6" s="2" t="n">
        <v>1</v>
      </c>
    </row>
    <row r="7">
      <c r="E7" t="inlineStr">
        <is>
          <t>Interest Total:</t>
        </is>
      </c>
      <c r="F7">
        <f>SUM(F2:F6)</f>
        <v/>
      </c>
    </row>
  </sheetData>
  <hyperlinks>
    <hyperlink xmlns:r="http://schemas.openxmlformats.org/officeDocument/2006/relationships" ref="H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4" customWidth="1" min="3" max="3"/>
    <col width="14" customWidth="1" min="4" max="4"/>
    <col width="14" customWidth="1" min="5" max="5"/>
    <col width="82" customWidth="1" min="6" max="6"/>
    <col width="11" customWidth="1" min="7" max="7"/>
  </cols>
  <sheetData>
    <row r="1">
      <c r="A1" s="1" t="inlineStr">
        <is>
          <t>Purchase Date</t>
        </is>
      </c>
      <c r="B1" t="inlineStr">
        <is>
          <t>Purchase Amount</t>
        </is>
      </c>
      <c r="C1" t="inlineStr">
        <is>
          <t>Payment Date</t>
        </is>
      </c>
      <c r="D1" t="inlineStr">
        <is>
          <t>Payment Used</t>
        </is>
      </c>
      <c r="E1" t="inlineStr">
        <is>
          <t>Days Delayed</t>
        </is>
      </c>
      <c r="F1" t="inlineStr">
        <is>
          <t>Interest</t>
        </is>
      </c>
      <c r="G1" t="inlineStr">
        <is>
          <t>IsDelayed</t>
        </is>
      </c>
      <c r="H1" s="1" t="inlineStr">
        <is>
          <t>Back to Summary</t>
        </is>
      </c>
    </row>
    <row r="2">
      <c r="A2" t="inlineStr">
        <is>
          <t>01-04-2018</t>
        </is>
      </c>
      <c r="B2" t="n">
        <v>7000</v>
      </c>
      <c r="C2" t="inlineStr">
        <is>
          <t>21-04-2018</t>
        </is>
      </c>
      <c r="D2" t="n">
        <v>7000</v>
      </c>
      <c r="E2" t="n">
        <v>20</v>
      </c>
      <c r="F2" t="n">
        <v>0</v>
      </c>
      <c r="G2" t="n">
        <v>0</v>
      </c>
    </row>
    <row r="3">
      <c r="A3" s="2" t="inlineStr">
        <is>
          <t>01-04-2018</t>
        </is>
      </c>
      <c r="B3" s="2" t="n">
        <v>3000</v>
      </c>
      <c r="C3" s="2" t="inlineStr">
        <is>
          <t>01-01-2019</t>
        </is>
      </c>
      <c r="D3" s="2" t="n">
        <v>3000</v>
      </c>
      <c r="E3" s="2" t="n">
        <v>275</v>
      </c>
      <c r="F3" s="2">
        <f>IF(Summary!$C$3="",0,ROUND((B3*Summary!$C$3/(100+Summary!$C$3))*0.18*E3/365,2))</f>
        <v/>
      </c>
      <c r="G3" s="2" t="n">
        <v>1</v>
      </c>
    </row>
    <row r="4">
      <c r="A4" s="2" t="inlineStr">
        <is>
          <t>05-04-2018</t>
        </is>
      </c>
      <c r="B4" s="2" t="n">
        <v>2000</v>
      </c>
      <c r="C4" s="2" t="inlineStr">
        <is>
          <t>01-01-2019</t>
        </is>
      </c>
      <c r="D4" s="2" t="n">
        <v>2000</v>
      </c>
      <c r="E4" s="2" t="n">
        <v>271</v>
      </c>
      <c r="F4" s="2">
        <f>IF(Summary!$C$3="",0,ROUND((B4*Summary!$C$3/(100+Summary!$C$3))*0.18*E4/365,2))</f>
        <v/>
      </c>
      <c r="G4" s="2" t="n">
        <v>1</v>
      </c>
    </row>
    <row r="5">
      <c r="A5" s="2" t="inlineStr">
        <is>
          <t>09-04-2018</t>
        </is>
      </c>
      <c r="B5" s="2" t="n">
        <v>10000</v>
      </c>
      <c r="C5" s="2" t="inlineStr">
        <is>
          <t>01-01-2019</t>
        </is>
      </c>
      <c r="D5" s="2" t="n">
        <v>10000</v>
      </c>
      <c r="E5" s="2" t="n">
        <v>267</v>
      </c>
      <c r="F5" s="2">
        <f>IF(Summary!$C$3="",0,ROUND((B5*Summary!$C$3/(100+Summary!$C$3))*0.18*E5/365,2))</f>
        <v/>
      </c>
      <c r="G5" s="2" t="n">
        <v>1</v>
      </c>
    </row>
    <row r="6">
      <c r="A6" s="2" t="inlineStr">
        <is>
          <t>13-04-2018</t>
        </is>
      </c>
      <c r="B6" s="2" t="n">
        <v>10000</v>
      </c>
      <c r="C6" s="2" t="inlineStr">
        <is>
          <t>01-03-2019</t>
        </is>
      </c>
      <c r="D6" s="2" t="n">
        <v>10000</v>
      </c>
      <c r="E6" s="2" t="n">
        <v>322</v>
      </c>
      <c r="F6" s="2">
        <f>IF(Summary!$C$3="",0,ROUND((B6*Summary!$C$3/(100+Summary!$C$3))*0.18*E6/365,2))</f>
        <v/>
      </c>
      <c r="G6" s="2" t="n">
        <v>1</v>
      </c>
    </row>
    <row r="7">
      <c r="A7" s="2" t="inlineStr">
        <is>
          <t>17-04-2018</t>
        </is>
      </c>
      <c r="B7" s="2" t="n">
        <v>5000</v>
      </c>
      <c r="C7" s="2" t="inlineStr">
        <is>
          <t>01-03-2019</t>
        </is>
      </c>
      <c r="D7" s="2" t="n">
        <v>5000</v>
      </c>
      <c r="E7" s="2" t="n">
        <v>318</v>
      </c>
      <c r="F7" s="2">
        <f>IF(Summary!$C$3="",0,ROUND((B7*Summary!$C$3/(100+Summary!$C$3))*0.18*E7/365,2))</f>
        <v/>
      </c>
      <c r="G7" s="2" t="n">
        <v>1</v>
      </c>
    </row>
    <row r="8">
      <c r="E8" t="inlineStr">
        <is>
          <t>Interest Total:</t>
        </is>
      </c>
      <c r="F8">
        <f>SUM(F2:F7)</f>
        <v/>
      </c>
    </row>
  </sheetData>
  <hyperlinks>
    <hyperlink xmlns:r="http://schemas.openxmlformats.org/officeDocument/2006/relationships" ref="H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2026-07-28T18:30:49Z</dcterms:created>
  <dcterms:modified xsi:type="dcterms:W3CDTF">2026-07-28T18:30:49Z</dcterms:modified>
</cp:coreProperties>
</file>